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eilsquiresoc-my.sharepoint.com/personal/stephand_neilsquire_ca/Documents/Documents/GitHub/MMC60_Assistive_Switch/Documentation/Working_Documents/"/>
    </mc:Choice>
  </mc:AlternateContent>
  <xr:revisionPtr revIDLastSave="391" documentId="11_DC0E2523FAFE28515E8D5C5A1D4A6B02C3B15AFA" xr6:coauthVersionLast="47" xr6:coauthVersionMax="47" xr10:uidLastSave="{CE5F866F-9F3A-41DD-878A-6BD7763D4F4F}"/>
  <bookViews>
    <workbookView xWindow="-110" yWindow="-110" windowWidth="38620" windowHeight="21100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I13" i="2"/>
  <c r="L13" i="2" s="1"/>
  <c r="I14" i="2"/>
  <c r="L14" i="2" s="1"/>
  <c r="I5" i="2"/>
  <c r="K21" i="2"/>
  <c r="L21" i="2" s="1"/>
  <c r="I21" i="2"/>
  <c r="K20" i="2"/>
  <c r="L20" i="2" s="1"/>
  <c r="I20" i="2"/>
  <c r="K19" i="2"/>
  <c r="L19" i="2" s="1"/>
  <c r="I19" i="2"/>
  <c r="K8" i="2"/>
  <c r="K22" i="2" l="1"/>
  <c r="L22" i="2" s="1"/>
  <c r="I22" i="2"/>
  <c r="K18" i="2"/>
  <c r="I18" i="2"/>
  <c r="K17" i="2"/>
  <c r="I17" i="2"/>
  <c r="K12" i="2"/>
  <c r="I12" i="2"/>
  <c r="L12" i="2" s="1"/>
  <c r="K11" i="2"/>
  <c r="I11" i="2"/>
  <c r="L11" i="2" s="1"/>
  <c r="K10" i="2"/>
  <c r="I10" i="2"/>
  <c r="L10" i="2" s="1"/>
  <c r="K9" i="2"/>
  <c r="I9" i="2"/>
  <c r="L9" i="2" s="1"/>
  <c r="I8" i="2"/>
  <c r="L8" i="2" s="1"/>
  <c r="K15" i="2" l="1"/>
  <c r="L6" i="2"/>
  <c r="K6" i="2"/>
  <c r="L17" i="2"/>
  <c r="I15" i="2"/>
  <c r="L18" i="2"/>
  <c r="K5" i="2" l="1"/>
  <c r="L15" i="2"/>
  <c r="L5" i="2" s="1"/>
</calcChain>
</file>

<file path=xl/sharedStrings.xml><?xml version="1.0" encoding="utf-8"?>
<sst xmlns="http://schemas.openxmlformats.org/spreadsheetml/2006/main" count="93" uniqueCount="57">
  <si>
    <t>Total filament (g)</t>
  </si>
  <si>
    <t>Link</t>
  </si>
  <si>
    <t>Part</t>
  </si>
  <si>
    <t>Description</t>
  </si>
  <si>
    <t>Commercial Parts</t>
  </si>
  <si>
    <t>ID</t>
  </si>
  <si>
    <t>Last Updated:</t>
  </si>
  <si>
    <t>Version:</t>
  </si>
  <si>
    <t>Device:</t>
  </si>
  <si>
    <t>Manufacturer</t>
  </si>
  <si>
    <t>Supplier</t>
  </si>
  <si>
    <t>QTY / PKG</t>
  </si>
  <si>
    <t>PKGs</t>
  </si>
  <si>
    <t>$/ PKG</t>
  </si>
  <si>
    <t>QTY / Device</t>
  </si>
  <si>
    <t>$ / Device</t>
  </si>
  <si>
    <t>Filament</t>
  </si>
  <si>
    <t>Color</t>
  </si>
  <si>
    <t>Any</t>
  </si>
  <si>
    <t>Filament Type</t>
  </si>
  <si>
    <t>PLA</t>
  </si>
  <si>
    <t>$ / kg</t>
  </si>
  <si>
    <t>3D Printed Parts</t>
  </si>
  <si>
    <t>Tools</t>
  </si>
  <si>
    <t>Total Mass</t>
  </si>
  <si>
    <t>Unit Cost</t>
  </si>
  <si>
    <t>Mass (g) / Part</t>
  </si>
  <si>
    <t>Build Cost</t>
  </si>
  <si>
    <t>Total Estimated Cost</t>
  </si>
  <si>
    <t>Alternatives</t>
  </si>
  <si>
    <t>Tool</t>
  </si>
  <si>
    <t>3.5mm Mono Jack</t>
  </si>
  <si>
    <t>#4 3/8 length screw</t>
  </si>
  <si>
    <t>1/4-20 Hex nut</t>
  </si>
  <si>
    <t>1/4-20, 1/2" length Hex Bolt</t>
  </si>
  <si>
    <t>1/4-20, 5/16" length T-Nut</t>
  </si>
  <si>
    <t>3.5 mm Mono Cable, 10 ft, Male to Male</t>
  </si>
  <si>
    <t>Limit Switch</t>
  </si>
  <si>
    <t>https://www.digikey.ca/en/products/detail/cui-inc/MJ-3502/281321</t>
  </si>
  <si>
    <t>https://www.digikey.ca/en/products/detail/serpac/6005/307599</t>
  </si>
  <si>
    <t>https://www.digikey.ca/en/products/detail/80-20-llc/24202/28311218</t>
  </si>
  <si>
    <t>https://www.homedepot.ca/product/paulin-1-4-20-x-1-2-inch-hex-head-cap-screw-18-8-stainless-steel-unc/1000142251</t>
  </si>
  <si>
    <t>https://www.homedepot.ca/product/paulin-1-4-inch-20-tee-nuts-4-prong-5-16-inch-barrel-length/1000129429</t>
  </si>
  <si>
    <t>https://www.primecables.ca/p-370665-cab-aud-200-all-35mm-18-inch-mono-ts-male-to-male-28awg-ft4-cable-black#sku383507</t>
  </si>
  <si>
    <t>https://www.digikey.ca/en/products/detail/omron-electronics-inc-emc-div/SS-3GP/664724</t>
  </si>
  <si>
    <t>MMC60 Assistive Switch</t>
  </si>
  <si>
    <t xml:space="preserve"> V1.11</t>
  </si>
  <si>
    <t>MMC60_Base_Bottom_EN-FR</t>
  </si>
  <si>
    <t>MMC60_Button</t>
  </si>
  <si>
    <t>RFS_Base_Top</t>
  </si>
  <si>
    <t>RFS_Flexure</t>
  </si>
  <si>
    <t>RFS_Pins</t>
  </si>
  <si>
    <t>RFS_Sw_Jack_Mount</t>
  </si>
  <si>
    <t>https://a.co/d/0fvi6Sdn</t>
  </si>
  <si>
    <t>https://a.co/d/04irVJAz</t>
  </si>
  <si>
    <t>https://a.co/d/0aEeQ1J0</t>
  </si>
  <si>
    <t>https://a.co/d/083bJTZo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</si>
</sst>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1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3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4" xfId="0" applyBorder="1"/>
    <xf numFmtId="0" fontId="2" fillId="0" borderId="4" xfId="0" applyFont="1" applyBorder="1"/>
    <xf numFmtId="0" fontId="1" fillId="5" borderId="5" xfId="4" applyBorder="1"/>
    <xf numFmtId="0" fontId="1" fillId="5" borderId="0" xfId="4"/>
    <xf numFmtId="44" fontId="1" fillId="5" borderId="5" xfId="4" applyNumberFormat="1" applyBorder="1"/>
    <xf numFmtId="0" fontId="1" fillId="5" borderId="1" xfId="4" applyBorder="1"/>
    <xf numFmtId="44" fontId="1" fillId="4" borderId="2" xfId="3" applyNumberFormat="1" applyBorder="1"/>
    <xf numFmtId="44" fontId="1" fillId="12" borderId="1" xfId="11" applyNumberFormat="1" applyBorder="1"/>
    <xf numFmtId="0" fontId="1" fillId="12" borderId="1" xfId="11" applyBorder="1"/>
    <xf numFmtId="44" fontId="1" fillId="11" borderId="2" xfId="10" applyNumberFormat="1" applyBorder="1"/>
    <xf numFmtId="0" fontId="1" fillId="7" borderId="1" xfId="6" applyBorder="1"/>
    <xf numFmtId="0" fontId="1" fillId="4" borderId="2" xfId="3" applyBorder="1"/>
    <xf numFmtId="0" fontId="1" fillId="11" borderId="2" xfId="10" applyBorder="1"/>
    <xf numFmtId="0" fontId="1" fillId="9" borderId="2" xfId="8" applyBorder="1"/>
    <xf numFmtId="0" fontId="1" fillId="6" borderId="2" xfId="5" applyBorder="1"/>
    <xf numFmtId="0" fontId="1" fillId="4" borderId="6" xfId="3" applyBorder="1"/>
    <xf numFmtId="44" fontId="1" fillId="4" borderId="6" xfId="3" applyNumberFormat="1" applyBorder="1"/>
    <xf numFmtId="0" fontId="1" fillId="11" borderId="6" xfId="10" applyBorder="1"/>
    <xf numFmtId="44" fontId="1" fillId="11" borderId="6" xfId="10" applyNumberFormat="1" applyBorder="1"/>
    <xf numFmtId="0" fontId="1" fillId="9" borderId="6" xfId="8" applyBorder="1"/>
    <xf numFmtId="0" fontId="1" fillId="10" borderId="7" xfId="9" applyBorder="1"/>
    <xf numFmtId="0" fontId="1" fillId="6" borderId="6" xfId="5" applyBorder="1"/>
    <xf numFmtId="0" fontId="1" fillId="4" borderId="8" xfId="3" applyBorder="1"/>
    <xf numFmtId="0" fontId="1" fillId="12" borderId="9" xfId="11" applyBorder="1"/>
    <xf numFmtId="0" fontId="1" fillId="12" borderId="10" xfId="11" applyBorder="1"/>
    <xf numFmtId="44" fontId="1" fillId="12" borderId="10" xfId="11" applyNumberFormat="1" applyBorder="1"/>
    <xf numFmtId="0" fontId="1" fillId="12" borderId="11" xfId="11" applyBorder="1"/>
    <xf numFmtId="0" fontId="1" fillId="12" borderId="12" xfId="11" applyBorder="1"/>
    <xf numFmtId="0" fontId="1" fillId="10" borderId="9" xfId="9" applyBorder="1"/>
    <xf numFmtId="0" fontId="1" fillId="10" borderId="10" xfId="9" applyBorder="1"/>
    <xf numFmtId="44" fontId="1" fillId="10" borderId="10" xfId="9" applyNumberFormat="1" applyBorder="1"/>
    <xf numFmtId="0" fontId="1" fillId="10" borderId="11" xfId="9" applyBorder="1"/>
    <xf numFmtId="0" fontId="1" fillId="10" borderId="12" xfId="9" applyBorder="1"/>
    <xf numFmtId="0" fontId="1" fillId="9" borderId="8" xfId="8" applyBorder="1"/>
    <xf numFmtId="0" fontId="1" fillId="7" borderId="9" xfId="6" applyBorder="1"/>
    <xf numFmtId="0" fontId="1" fillId="7" borderId="14" xfId="6" applyBorder="1"/>
    <xf numFmtId="0" fontId="1" fillId="7" borderId="12" xfId="6" applyBorder="1"/>
    <xf numFmtId="0" fontId="2" fillId="5" borderId="5" xfId="4" applyFont="1" applyBorder="1"/>
    <xf numFmtId="0" fontId="2" fillId="12" borderId="1" xfId="11" applyFont="1" applyBorder="1"/>
    <xf numFmtId="0" fontId="2" fillId="10" borderId="1" xfId="9" applyFont="1" applyBorder="1"/>
    <xf numFmtId="0" fontId="2" fillId="7" borderId="13" xfId="6" applyFont="1" applyBorder="1"/>
    <xf numFmtId="0" fontId="5" fillId="0" borderId="0" xfId="0" applyFont="1"/>
    <xf numFmtId="0" fontId="5" fillId="8" borderId="3" xfId="7" applyFont="1" applyBorder="1"/>
    <xf numFmtId="0" fontId="6" fillId="2" borderId="0" xfId="1" applyFont="1"/>
    <xf numFmtId="0" fontId="5" fillId="0" borderId="4" xfId="0" applyFont="1" applyBorder="1"/>
    <xf numFmtId="44" fontId="5" fillId="8" borderId="5" xfId="7" applyNumberFormat="1" applyFont="1" applyBorder="1"/>
    <xf numFmtId="164" fontId="5" fillId="2" borderId="4" xfId="1" applyNumberFormat="1" applyFont="1" applyBorder="1"/>
    <xf numFmtId="0" fontId="1" fillId="3" borderId="3" xfId="2" applyBorder="1"/>
    <xf numFmtId="0" fontId="1" fillId="3" borderId="5" xfId="2" applyBorder="1"/>
    <xf numFmtId="44" fontId="1" fillId="5" borderId="1" xfId="4" applyNumberFormat="1" applyBorder="1"/>
    <xf numFmtId="0" fontId="1" fillId="10" borderId="1" xfId="9" applyBorder="1"/>
    <xf numFmtId="0" fontId="1" fillId="7" borderId="10" xfId="6" applyBorder="1"/>
    <xf numFmtId="0" fontId="1" fillId="7" borderId="11" xfId="6" applyBorder="1"/>
    <xf numFmtId="0" fontId="1" fillId="13" borderId="8" xfId="10" applyFill="1" applyBorder="1"/>
    <xf numFmtId="44" fontId="1" fillId="13" borderId="8" xfId="10" applyNumberFormat="1" applyFill="1" applyBorder="1"/>
    <xf numFmtId="0" fontId="0" fillId="13" borderId="4" xfId="0" applyFill="1" applyBorder="1"/>
    <xf numFmtId="0" fontId="4" fillId="0" borderId="0" xfId="0" applyFont="1" applyAlignment="1">
      <alignment horizontal="left"/>
    </xf>
    <xf numFmtId="44" fontId="1" fillId="4" borderId="8" xfId="3" applyNumberFormat="1" applyBorder="1"/>
    <xf numFmtId="14" fontId="0" fillId="0" borderId="4" xfId="0" applyNumberFormat="1" applyBorder="1"/>
    <xf numFmtId="0" fontId="7" fillId="6" borderId="6" xfId="12" applyFill="1" applyBorder="1"/>
  </cellXfs>
  <cellStyles count="13">
    <cellStyle name="20% - Accent2" xfId="3" builtinId="34"/>
    <cellStyle name="20% - Accent3" xfId="5" builtinId="38"/>
    <cellStyle name="20% - Accent4" xfId="8" builtinId="42"/>
    <cellStyle name="20% - Accent6" xfId="10" builtinId="50"/>
    <cellStyle name="40% - Accent2" xfId="4" builtinId="35"/>
    <cellStyle name="40% - Accent3" xfId="6" builtinId="39"/>
    <cellStyle name="40% - Accent4" xfId="9" builtinId="43"/>
    <cellStyle name="40% - Accent6" xfId="11" builtinId="51"/>
    <cellStyle name="60% - Accent1" xfId="2" builtinId="32"/>
    <cellStyle name="Accent2" xfId="1" builtinId="33"/>
    <cellStyle name="Accent4" xfId="7" builtinId="41"/>
    <cellStyle name="Hyperlink" xfId="1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.co/d/0fvi6S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AD1-7DB5-46E4-9BCF-A08DFBDA7B00}">
  <dimension ref="A1:N44"/>
  <sheetViews>
    <sheetView tabSelected="1" workbookViewId="0">
      <selection activeCell="N34" sqref="N34"/>
    </sheetView>
  </sheetViews>
  <sheetFormatPr defaultRowHeight="14.5" x14ac:dyDescent="0.35"/>
  <cols>
    <col min="1" max="1" width="19.26953125" customWidth="1"/>
    <col min="2" max="2" width="16.54296875" bestFit="1" customWidth="1"/>
    <col min="3" max="3" width="21.453125" bestFit="1" customWidth="1"/>
    <col min="4" max="4" width="12.81640625" customWidth="1"/>
    <col min="5" max="5" width="13.1796875" bestFit="1" customWidth="1"/>
    <col min="6" max="6" width="8.453125" bestFit="1" customWidth="1"/>
    <col min="7" max="7" width="12.1796875" bestFit="1" customWidth="1"/>
    <col min="8" max="8" width="13.7265625" bestFit="1" customWidth="1"/>
    <col min="9" max="9" width="15.81640625" customWidth="1"/>
    <col min="10" max="10" width="8" bestFit="1" customWidth="1"/>
    <col min="11" max="11" width="9.7265625" bestFit="1" customWidth="1"/>
    <col min="12" max="12" width="20.453125" customWidth="1"/>
    <col min="13" max="13" width="17.26953125" customWidth="1"/>
    <col min="14" max="14" width="17.453125" bestFit="1" customWidth="1"/>
  </cols>
  <sheetData>
    <row r="1" spans="1:14" ht="35.5" x14ac:dyDescent="0.75">
      <c r="A1" s="2" t="s">
        <v>8</v>
      </c>
      <c r="B1" s="59" t="s">
        <v>45</v>
      </c>
      <c r="C1" s="59"/>
      <c r="D1" s="59"/>
      <c r="E1" s="59"/>
      <c r="F1" s="59"/>
      <c r="G1" s="59"/>
      <c r="H1" s="59"/>
      <c r="I1" s="59"/>
      <c r="J1" s="59"/>
    </row>
    <row r="2" spans="1:14" x14ac:dyDescent="0.35">
      <c r="A2" s="1" t="s">
        <v>7</v>
      </c>
      <c r="B2" t="s">
        <v>46</v>
      </c>
    </row>
    <row r="3" spans="1:14" s="3" customFormat="1" ht="15" thickBot="1" x14ac:dyDescent="0.4">
      <c r="A3" s="4" t="s">
        <v>6</v>
      </c>
      <c r="B3" s="61">
        <v>46066</v>
      </c>
    </row>
    <row r="4" spans="1:14" x14ac:dyDescent="0.35">
      <c r="I4" s="50" t="s">
        <v>0</v>
      </c>
      <c r="J4" s="44"/>
      <c r="K4" s="45" t="s">
        <v>25</v>
      </c>
      <c r="L4" s="46" t="s">
        <v>28</v>
      </c>
      <c r="M4" t="s">
        <v>27</v>
      </c>
    </row>
    <row r="5" spans="1:14" s="3" customFormat="1" ht="15" thickBot="1" x14ac:dyDescent="0.4">
      <c r="C5" s="4"/>
      <c r="D5" s="4"/>
      <c r="E5" s="4"/>
      <c r="F5" s="4"/>
      <c r="I5" s="51">
        <f>SUM(H17:H22)</f>
        <v>42.94</v>
      </c>
      <c r="J5" s="47"/>
      <c r="K5" s="48">
        <f>K6+K15</f>
        <v>12.6615</v>
      </c>
      <c r="L5" s="49">
        <f>L6+L15</f>
        <v>12.6615</v>
      </c>
    </row>
    <row r="6" spans="1:14" ht="15" thickBot="1" x14ac:dyDescent="0.4">
      <c r="A6" s="5" t="s">
        <v>5</v>
      </c>
      <c r="B6" s="40" t="s">
        <v>4</v>
      </c>
      <c r="C6" s="6"/>
      <c r="D6" s="6"/>
      <c r="E6" s="6"/>
      <c r="F6" s="6"/>
      <c r="G6" s="6"/>
      <c r="H6" s="6"/>
      <c r="I6" s="6"/>
      <c r="J6" s="6"/>
      <c r="K6" s="52">
        <f>SUM(K8:K14)</f>
        <v>11.588000000000001</v>
      </c>
      <c r="L6" s="7">
        <f>SUM(L8:L14)</f>
        <v>11.588000000000001</v>
      </c>
      <c r="M6" s="6"/>
      <c r="N6" s="6"/>
    </row>
    <row r="7" spans="1:14" ht="15" thickBot="1" x14ac:dyDescent="0.4">
      <c r="A7" s="8"/>
      <c r="B7" s="8" t="s">
        <v>2</v>
      </c>
      <c r="C7" s="8" t="s">
        <v>3</v>
      </c>
      <c r="D7" s="8"/>
      <c r="E7" s="8" t="s">
        <v>9</v>
      </c>
      <c r="F7" s="8" t="s">
        <v>10</v>
      </c>
      <c r="G7" s="8" t="s">
        <v>14</v>
      </c>
      <c r="H7" s="8" t="s">
        <v>11</v>
      </c>
      <c r="I7" s="8" t="s">
        <v>12</v>
      </c>
      <c r="J7" s="8" t="s">
        <v>13</v>
      </c>
      <c r="K7" s="8" t="s">
        <v>15</v>
      </c>
      <c r="L7" s="8" t="s">
        <v>28</v>
      </c>
      <c r="M7" s="8"/>
      <c r="N7" s="8" t="s">
        <v>1</v>
      </c>
    </row>
    <row r="8" spans="1:14" x14ac:dyDescent="0.35">
      <c r="A8" s="18"/>
      <c r="B8" s="18" t="s">
        <v>31</v>
      </c>
      <c r="C8" s="18"/>
      <c r="D8" s="18"/>
      <c r="E8" s="18"/>
      <c r="F8" s="18"/>
      <c r="G8" s="18">
        <v>1</v>
      </c>
      <c r="H8" s="18">
        <v>1</v>
      </c>
      <c r="I8" s="18">
        <f t="shared" ref="I8:I14" si="0">IF(G8&gt;0,CEILING(G8/H8,1),0)</f>
        <v>1</v>
      </c>
      <c r="J8" s="19">
        <v>2.4700000000000002</v>
      </c>
      <c r="K8" s="19">
        <f>IF(G8&gt;0,J8/H8*G8,0)</f>
        <v>2.4700000000000002</v>
      </c>
      <c r="L8" s="19">
        <f>I8*J8</f>
        <v>2.4700000000000002</v>
      </c>
      <c r="M8" s="18"/>
      <c r="N8" s="18" t="s">
        <v>38</v>
      </c>
    </row>
    <row r="9" spans="1:14" x14ac:dyDescent="0.35">
      <c r="A9" s="14"/>
      <c r="B9" s="14" t="s">
        <v>32</v>
      </c>
      <c r="C9" s="14"/>
      <c r="D9" s="14"/>
      <c r="E9" s="14"/>
      <c r="F9" s="14"/>
      <c r="G9" s="14">
        <v>6</v>
      </c>
      <c r="H9" s="14">
        <v>1</v>
      </c>
      <c r="I9" s="14">
        <f t="shared" si="0"/>
        <v>6</v>
      </c>
      <c r="J9" s="9">
        <v>0.51800000000000002</v>
      </c>
      <c r="K9" s="9">
        <f t="shared" ref="K9:K14" si="1">IF(G9&gt;0,J9/H9*G9,0)</f>
        <v>3.1080000000000001</v>
      </c>
      <c r="L9" s="9">
        <f t="shared" ref="L9:L14" si="2">I9*J9</f>
        <v>3.1080000000000001</v>
      </c>
      <c r="M9" s="14"/>
      <c r="N9" s="14" t="s">
        <v>39</v>
      </c>
    </row>
    <row r="10" spans="1:14" x14ac:dyDescent="0.35">
      <c r="A10" s="14"/>
      <c r="B10" s="14" t="s">
        <v>33</v>
      </c>
      <c r="C10" s="14"/>
      <c r="D10" s="14"/>
      <c r="E10" s="14"/>
      <c r="F10" s="14"/>
      <c r="G10" s="14">
        <v>2</v>
      </c>
      <c r="H10" s="14">
        <v>1</v>
      </c>
      <c r="I10" s="14">
        <f t="shared" si="0"/>
        <v>2</v>
      </c>
      <c r="J10" s="9">
        <v>0.22</v>
      </c>
      <c r="K10" s="9">
        <f t="shared" si="1"/>
        <v>0.44</v>
      </c>
      <c r="L10" s="9">
        <f t="shared" si="2"/>
        <v>0.44</v>
      </c>
      <c r="M10" s="14"/>
      <c r="N10" s="14" t="s">
        <v>40</v>
      </c>
    </row>
    <row r="11" spans="1:14" x14ac:dyDescent="0.35">
      <c r="A11" s="14"/>
      <c r="B11" s="14" t="s">
        <v>34</v>
      </c>
      <c r="C11" s="14"/>
      <c r="D11" s="14"/>
      <c r="E11" s="14"/>
      <c r="F11" s="14"/>
      <c r="G11" s="14">
        <v>1</v>
      </c>
      <c r="H11" s="14">
        <v>1</v>
      </c>
      <c r="I11" s="14">
        <f t="shared" si="0"/>
        <v>1</v>
      </c>
      <c r="J11" s="9">
        <v>0.57999999999999996</v>
      </c>
      <c r="K11" s="9">
        <f t="shared" si="1"/>
        <v>0.57999999999999996</v>
      </c>
      <c r="L11" s="9">
        <f t="shared" si="2"/>
        <v>0.57999999999999996</v>
      </c>
      <c r="M11" s="14"/>
      <c r="N11" s="14" t="s">
        <v>41</v>
      </c>
    </row>
    <row r="12" spans="1:14" x14ac:dyDescent="0.35">
      <c r="A12" s="14"/>
      <c r="B12" s="14" t="s">
        <v>35</v>
      </c>
      <c r="C12" s="14"/>
      <c r="D12" s="14"/>
      <c r="E12" s="14"/>
      <c r="F12" s="14"/>
      <c r="G12" s="14">
        <v>1</v>
      </c>
      <c r="H12" s="14">
        <v>1</v>
      </c>
      <c r="I12" s="14">
        <f t="shared" si="0"/>
        <v>1</v>
      </c>
      <c r="J12" s="9">
        <v>0.55000000000000004</v>
      </c>
      <c r="K12" s="9">
        <f t="shared" si="1"/>
        <v>0.55000000000000004</v>
      </c>
      <c r="L12" s="9">
        <f t="shared" si="2"/>
        <v>0.55000000000000004</v>
      </c>
      <c r="M12" s="14"/>
      <c r="N12" s="14" t="s">
        <v>42</v>
      </c>
    </row>
    <row r="13" spans="1:14" x14ac:dyDescent="0.35">
      <c r="A13" s="25"/>
      <c r="B13" s="25" t="s">
        <v>36</v>
      </c>
      <c r="C13" s="25"/>
      <c r="D13" s="25"/>
      <c r="E13" s="25"/>
      <c r="F13" s="25"/>
      <c r="G13" s="25">
        <v>1</v>
      </c>
      <c r="H13" s="25">
        <v>1</v>
      </c>
      <c r="I13" s="14">
        <f t="shared" si="0"/>
        <v>1</v>
      </c>
      <c r="J13" s="60">
        <v>2.89</v>
      </c>
      <c r="K13" s="9">
        <f t="shared" si="1"/>
        <v>2.89</v>
      </c>
      <c r="L13" s="9">
        <f t="shared" si="2"/>
        <v>2.89</v>
      </c>
      <c r="M13" s="25"/>
      <c r="N13" s="25" t="s">
        <v>43</v>
      </c>
    </row>
    <row r="14" spans="1:14" s="3" customFormat="1" ht="15" thickBot="1" x14ac:dyDescent="0.4">
      <c r="A14" s="25"/>
      <c r="B14" s="25" t="s">
        <v>37</v>
      </c>
      <c r="C14" s="25"/>
      <c r="D14" s="25"/>
      <c r="E14" s="25"/>
      <c r="F14" s="25"/>
      <c r="G14" s="25">
        <v>1</v>
      </c>
      <c r="H14" s="25">
        <v>1</v>
      </c>
      <c r="I14" s="14">
        <f t="shared" si="0"/>
        <v>1</v>
      </c>
      <c r="J14" s="25">
        <v>1.55</v>
      </c>
      <c r="K14" s="9">
        <f t="shared" si="1"/>
        <v>1.55</v>
      </c>
      <c r="L14" s="9">
        <f t="shared" si="2"/>
        <v>1.55</v>
      </c>
      <c r="M14" s="25"/>
      <c r="N14" s="25" t="s">
        <v>44</v>
      </c>
    </row>
    <row r="15" spans="1:14" ht="15" thickBot="1" x14ac:dyDescent="0.4">
      <c r="A15" s="26"/>
      <c r="B15" s="41" t="s">
        <v>22</v>
      </c>
      <c r="C15" s="27"/>
      <c r="D15" s="27"/>
      <c r="E15" s="27"/>
      <c r="F15" s="27"/>
      <c r="G15" s="27"/>
      <c r="H15" s="27"/>
      <c r="I15" s="11">
        <f>SUM(I17:I23)</f>
        <v>42.94</v>
      </c>
      <c r="J15" s="28"/>
      <c r="K15" s="10">
        <f>SUM(K17:K22)</f>
        <v>1.0734999999999999</v>
      </c>
      <c r="L15" s="10">
        <f>SUM(L17:L22)</f>
        <v>1.0734999999999999</v>
      </c>
      <c r="M15" s="27"/>
      <c r="N15" s="29"/>
    </row>
    <row r="16" spans="1:14" ht="15" thickBot="1" x14ac:dyDescent="0.4">
      <c r="A16" s="30"/>
      <c r="B16" s="11" t="s">
        <v>2</v>
      </c>
      <c r="C16" s="11" t="s">
        <v>3</v>
      </c>
      <c r="D16" s="11" t="s">
        <v>19</v>
      </c>
      <c r="E16" s="11" t="s">
        <v>16</v>
      </c>
      <c r="F16" s="11" t="s">
        <v>17</v>
      </c>
      <c r="G16" s="11" t="s">
        <v>14</v>
      </c>
      <c r="H16" s="11" t="s">
        <v>26</v>
      </c>
      <c r="I16" s="11" t="s">
        <v>24</v>
      </c>
      <c r="J16" s="11" t="s">
        <v>21</v>
      </c>
      <c r="K16" s="11" t="s">
        <v>15</v>
      </c>
      <c r="L16" s="11" t="s">
        <v>28</v>
      </c>
      <c r="M16" s="11"/>
      <c r="N16" s="11" t="s">
        <v>1</v>
      </c>
    </row>
    <row r="17" spans="1:14" x14ac:dyDescent="0.35">
      <c r="A17" s="20"/>
      <c r="B17" s="20" t="s">
        <v>47</v>
      </c>
      <c r="C17" s="20"/>
      <c r="D17" s="20" t="s">
        <v>20</v>
      </c>
      <c r="E17" s="20"/>
      <c r="F17" s="20" t="s">
        <v>18</v>
      </c>
      <c r="G17" s="20">
        <v>1</v>
      </c>
      <c r="H17" s="20">
        <v>20.74</v>
      </c>
      <c r="I17" s="20">
        <f>G17*H17</f>
        <v>20.74</v>
      </c>
      <c r="J17" s="21">
        <v>25</v>
      </c>
      <c r="K17" s="21">
        <f>IF(G17&gt;0,(J17/1000)*G17*H17,0)</f>
        <v>0.51849999999999996</v>
      </c>
      <c r="L17" s="21">
        <f>K17</f>
        <v>0.51849999999999996</v>
      </c>
      <c r="M17" s="20"/>
      <c r="N17" s="20"/>
    </row>
    <row r="18" spans="1:14" x14ac:dyDescent="0.35">
      <c r="A18" s="15"/>
      <c r="B18" s="15" t="s">
        <v>48</v>
      </c>
      <c r="C18" s="15"/>
      <c r="D18" s="20" t="s">
        <v>20</v>
      </c>
      <c r="E18" s="15"/>
      <c r="F18" s="20" t="s">
        <v>18</v>
      </c>
      <c r="G18" s="15">
        <v>1</v>
      </c>
      <c r="H18" s="15">
        <v>9.1999999999999993</v>
      </c>
      <c r="I18" s="15">
        <f t="shared" ref="I18:I22" si="3">G18*H18</f>
        <v>9.1999999999999993</v>
      </c>
      <c r="J18" s="21">
        <v>25</v>
      </c>
      <c r="K18" s="12">
        <f t="shared" ref="K18:K22" si="4">IF(G18&gt;0,(J18/1000)*G18*H18,0)</f>
        <v>0.22999999999999998</v>
      </c>
      <c r="L18" s="12">
        <f t="shared" ref="L18:L22" si="5">K18</f>
        <v>0.22999999999999998</v>
      </c>
      <c r="M18" s="15"/>
      <c r="N18" s="15"/>
    </row>
    <row r="19" spans="1:14" x14ac:dyDescent="0.35">
      <c r="A19" s="15"/>
      <c r="B19" s="15" t="s">
        <v>49</v>
      </c>
      <c r="C19" s="15"/>
      <c r="D19" s="20" t="s">
        <v>20</v>
      </c>
      <c r="E19" s="15"/>
      <c r="F19" s="20" t="s">
        <v>18</v>
      </c>
      <c r="G19" s="15">
        <v>1</v>
      </c>
      <c r="H19" s="15">
        <v>5.67</v>
      </c>
      <c r="I19" s="15">
        <f t="shared" ref="I19:I21" si="6">G19*H19</f>
        <v>5.67</v>
      </c>
      <c r="J19" s="21">
        <v>25</v>
      </c>
      <c r="K19" s="12">
        <f t="shared" ref="K19:K21" si="7">IF(G19&gt;0,(J19/1000)*G19*H19,0)</f>
        <v>0.14175000000000001</v>
      </c>
      <c r="L19" s="12">
        <f t="shared" ref="L19:L21" si="8">K19</f>
        <v>0.14175000000000001</v>
      </c>
      <c r="M19" s="15"/>
      <c r="N19" s="15"/>
    </row>
    <row r="20" spans="1:14" x14ac:dyDescent="0.35">
      <c r="A20" s="15"/>
      <c r="B20" s="15" t="s">
        <v>50</v>
      </c>
      <c r="C20" s="15"/>
      <c r="D20" s="20" t="s">
        <v>20</v>
      </c>
      <c r="E20" s="15"/>
      <c r="F20" s="20" t="s">
        <v>18</v>
      </c>
      <c r="G20" s="15">
        <v>1</v>
      </c>
      <c r="H20" s="15">
        <v>3.53</v>
      </c>
      <c r="I20" s="15">
        <f t="shared" si="6"/>
        <v>3.53</v>
      </c>
      <c r="J20" s="21">
        <v>25</v>
      </c>
      <c r="K20" s="12">
        <f t="shared" si="7"/>
        <v>8.8249999999999995E-2</v>
      </c>
      <c r="L20" s="12">
        <f t="shared" si="8"/>
        <v>8.8249999999999995E-2</v>
      </c>
      <c r="M20" s="15"/>
      <c r="N20" s="15"/>
    </row>
    <row r="21" spans="1:14" x14ac:dyDescent="0.35">
      <c r="A21" s="15"/>
      <c r="B21" s="15" t="s">
        <v>51</v>
      </c>
      <c r="C21" s="15"/>
      <c r="D21" s="20" t="s">
        <v>20</v>
      </c>
      <c r="E21" s="15"/>
      <c r="F21" s="20" t="s">
        <v>18</v>
      </c>
      <c r="G21" s="15">
        <v>1</v>
      </c>
      <c r="H21" s="15">
        <v>0.26</v>
      </c>
      <c r="I21" s="15">
        <f t="shared" si="6"/>
        <v>0.26</v>
      </c>
      <c r="J21" s="21">
        <v>25</v>
      </c>
      <c r="K21" s="12">
        <f t="shared" si="7"/>
        <v>6.5000000000000006E-3</v>
      </c>
      <c r="L21" s="12">
        <f t="shared" si="8"/>
        <v>6.5000000000000006E-3</v>
      </c>
      <c r="M21" s="15"/>
      <c r="N21" s="15"/>
    </row>
    <row r="22" spans="1:14" x14ac:dyDescent="0.35">
      <c r="A22" s="15"/>
      <c r="B22" s="15" t="s">
        <v>52</v>
      </c>
      <c r="C22" s="15"/>
      <c r="D22" s="20" t="s">
        <v>20</v>
      </c>
      <c r="E22" s="15"/>
      <c r="F22" s="20" t="s">
        <v>18</v>
      </c>
      <c r="G22" s="15">
        <v>1</v>
      </c>
      <c r="H22" s="15">
        <v>3.54</v>
      </c>
      <c r="I22" s="15">
        <f t="shared" si="3"/>
        <v>3.54</v>
      </c>
      <c r="J22" s="21">
        <v>25</v>
      </c>
      <c r="K22" s="12">
        <f t="shared" si="4"/>
        <v>8.8500000000000009E-2</v>
      </c>
      <c r="L22" s="12">
        <f t="shared" si="5"/>
        <v>8.8500000000000009E-2</v>
      </c>
      <c r="M22" s="15"/>
      <c r="N22" s="15"/>
    </row>
    <row r="23" spans="1:14" s="58" customFormat="1" ht="15" thickBot="1" x14ac:dyDescent="0.4">
      <c r="A23" s="56"/>
      <c r="B23" s="56"/>
      <c r="C23" s="56"/>
      <c r="D23" s="56"/>
      <c r="E23" s="56"/>
      <c r="F23" s="56"/>
      <c r="G23" s="56"/>
      <c r="H23" s="56"/>
      <c r="I23" s="56"/>
      <c r="J23" s="57"/>
      <c r="K23" s="57"/>
      <c r="L23" s="57"/>
      <c r="M23" s="56"/>
      <c r="N23" s="56"/>
    </row>
    <row r="24" spans="1:14" ht="15" thickBot="1" x14ac:dyDescent="0.4">
      <c r="A24" s="31"/>
      <c r="B24" s="42" t="s">
        <v>23</v>
      </c>
      <c r="C24" s="32"/>
      <c r="D24" s="32"/>
      <c r="E24" s="32"/>
      <c r="F24" s="32"/>
      <c r="G24" s="32"/>
      <c r="H24" s="32"/>
      <c r="I24" s="32"/>
      <c r="J24" s="33"/>
      <c r="K24" s="32"/>
      <c r="L24" s="32"/>
      <c r="M24" s="32"/>
      <c r="N24" s="34"/>
    </row>
    <row r="25" spans="1:14" ht="15" thickBot="1" x14ac:dyDescent="0.4">
      <c r="A25" s="35"/>
      <c r="B25" s="53" t="s">
        <v>30</v>
      </c>
      <c r="C25" s="53" t="s">
        <v>3</v>
      </c>
      <c r="D25" s="23"/>
      <c r="E25" s="53" t="s">
        <v>9</v>
      </c>
      <c r="F25" s="53" t="s">
        <v>10</v>
      </c>
      <c r="G25" s="23"/>
      <c r="H25" s="23"/>
      <c r="I25" s="23"/>
      <c r="J25" s="23"/>
      <c r="K25" s="23"/>
      <c r="L25" s="23"/>
      <c r="M25" s="23"/>
      <c r="N25" s="53" t="s">
        <v>1</v>
      </c>
    </row>
    <row r="26" spans="1:14" x14ac:dyDescent="0.3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1:14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5" thickBot="1" x14ac:dyDescent="0.4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</row>
    <row r="32" spans="1:14" ht="15" thickBot="1" x14ac:dyDescent="0.4">
      <c r="A32" s="37"/>
      <c r="B32" s="43" t="s">
        <v>29</v>
      </c>
      <c r="C32" s="38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</row>
    <row r="33" spans="1:14" ht="15" thickBot="1" x14ac:dyDescent="0.4">
      <c r="A33" s="39"/>
      <c r="B33" s="13" t="s">
        <v>2</v>
      </c>
      <c r="C33" s="13" t="s">
        <v>3</v>
      </c>
      <c r="D33" s="13"/>
      <c r="E33" s="13" t="s">
        <v>9</v>
      </c>
      <c r="F33" s="13" t="s">
        <v>10</v>
      </c>
      <c r="G33" s="13" t="s">
        <v>14</v>
      </c>
      <c r="H33" s="13" t="s">
        <v>11</v>
      </c>
      <c r="I33" s="13" t="s">
        <v>12</v>
      </c>
      <c r="J33" s="13" t="s">
        <v>13</v>
      </c>
      <c r="K33" s="13" t="s">
        <v>15</v>
      </c>
      <c r="L33" s="13" t="s">
        <v>28</v>
      </c>
      <c r="M33" s="13"/>
      <c r="N33" s="13" t="s">
        <v>1</v>
      </c>
    </row>
    <row r="34" spans="1:14" x14ac:dyDescent="0.35">
      <c r="A34" s="24"/>
      <c r="B34" s="24" t="s">
        <v>32</v>
      </c>
      <c r="C34" s="24"/>
      <c r="D34" s="24"/>
      <c r="E34" s="24"/>
      <c r="F34" s="24"/>
      <c r="G34" s="24">
        <v>6</v>
      </c>
      <c r="H34" s="24"/>
      <c r="I34" s="24"/>
      <c r="J34" s="24"/>
      <c r="K34" s="24"/>
      <c r="L34" s="24"/>
      <c r="M34" s="24"/>
      <c r="N34" s="62" t="s">
        <v>53</v>
      </c>
    </row>
    <row r="35" spans="1:14" x14ac:dyDescent="0.35">
      <c r="A35" s="17"/>
      <c r="B35" s="17" t="s">
        <v>33</v>
      </c>
      <c r="C35" s="17"/>
      <c r="D35" s="17"/>
      <c r="E35" s="17"/>
      <c r="F35" s="17"/>
      <c r="G35" s="17">
        <v>2</v>
      </c>
      <c r="H35" s="17"/>
      <c r="I35" s="17"/>
      <c r="J35" s="17"/>
      <c r="K35" s="17"/>
      <c r="L35" s="17"/>
      <c r="M35" s="17"/>
      <c r="N35" s="17" t="s">
        <v>54</v>
      </c>
    </row>
    <row r="36" spans="1:14" x14ac:dyDescent="0.35">
      <c r="A36" s="17"/>
      <c r="B36" s="17" t="s">
        <v>34</v>
      </c>
      <c r="C36" s="17"/>
      <c r="D36" s="17"/>
      <c r="E36" s="17"/>
      <c r="F36" s="17"/>
      <c r="G36" s="17">
        <v>1</v>
      </c>
      <c r="H36" s="17"/>
      <c r="I36" s="17"/>
      <c r="J36" s="17"/>
      <c r="K36" s="17"/>
      <c r="L36" s="17"/>
      <c r="M36" s="17"/>
      <c r="N36" s="17" t="s">
        <v>55</v>
      </c>
    </row>
    <row r="37" spans="1:14" x14ac:dyDescent="0.35">
      <c r="A37" s="17"/>
      <c r="B37" s="17" t="s">
        <v>35</v>
      </c>
      <c r="C37" s="17"/>
      <c r="D37" s="17"/>
      <c r="E37" s="17"/>
      <c r="F37" s="17"/>
      <c r="G37" s="17">
        <v>1</v>
      </c>
      <c r="H37" s="17"/>
      <c r="I37" s="17"/>
      <c r="J37" s="17"/>
      <c r="K37" s="17"/>
      <c r="L37" s="17"/>
      <c r="M37" s="17"/>
      <c r="N37" s="17" t="s">
        <v>56</v>
      </c>
    </row>
    <row r="38" spans="1:14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</sheetData>
  <mergeCells count="1">
    <mergeCell ref="B1:J1"/>
  </mergeCells>
  <hyperlinks>
    <hyperlink ref="N34" r:id="rId1" xr:uid="{A12F3773-13F8-4F64-A3EE-74DDFF1D132C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EC7ECFAC78D4E8EF6CBAFFF0B3505" ma:contentTypeVersion="18" ma:contentTypeDescription="Create a new document." ma:contentTypeScope="" ma:versionID="c16a8de1b3ad07fcfe40131daee80152">
  <xsd:schema xmlns:xsd="http://www.w3.org/2001/XMLSchema" xmlns:xs="http://www.w3.org/2001/XMLSchema" xmlns:p="http://schemas.microsoft.com/office/2006/metadata/properties" xmlns:ns2="cf9f6c1f-8ad0-4eb8-bb2b-fb0b622a341e" xmlns:ns3="72c39c84-b0a3-45a2-a38c-ff46bb47f11f" targetNamespace="http://schemas.microsoft.com/office/2006/metadata/properties" ma:root="true" ma:fieldsID="85720a748046338a72a4f25fe522aa39" ns2:_="" ns3:_="">
    <xsd:import namespace="cf9f6c1f-8ad0-4eb8-bb2b-fb0b622a341e"/>
    <xsd:import namespace="72c39c84-b0a3-45a2-a38c-ff46bb47f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f6c1f-8ad0-4eb8-bb2b-fb0b622a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39c84-b0a3-45a2-a38c-ff46bb47f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0263d0-9f1a-4e63-a49c-f06b563fb00a}" ma:internalName="TaxCatchAll" ma:showField="CatchAllData" ma:web="72c39c84-b0a3-45a2-a38c-ff46bb47f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39c84-b0a3-45a2-a38c-ff46bb47f11f" xsi:nil="true"/>
    <lcf76f155ced4ddcb4097134ff3c332f xmlns="cf9f6c1f-8ad0-4eb8-bb2b-fb0b622a34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E754FF-A61B-4A88-B516-AC8192A9AA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f6c1f-8ad0-4eb8-bb2b-fb0b622a341e"/>
    <ds:schemaRef ds:uri="72c39c84-b0a3-45a2-a38c-ff46bb47f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2c39c84-b0a3-45a2-a38c-ff46bb47f11f"/>
    <ds:schemaRef ds:uri="cf9f6c1f-8ad0-4eb8-bb2b-fb0b622a3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Stephan Dobri</cp:lastModifiedBy>
  <cp:revision/>
  <dcterms:created xsi:type="dcterms:W3CDTF">2021-04-20T01:54:08Z</dcterms:created>
  <dcterms:modified xsi:type="dcterms:W3CDTF">2026-02-13T21:59:19Z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0x010100456CAEA290209545A9F8681F83603874</vt:lpwstr>
  </property>
  <property fmtid="{D5CDD505-2E9C-101B-9397-08002B2CF9AE}" pid="3" name="MediaServiceImageTags">
    <vt:lpwstr/>
  </property>
</Properties>
</file>